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ustDamad\Documents\DataProjects\"/>
    </mc:Choice>
  </mc:AlternateContent>
  <xr:revisionPtr revIDLastSave="0" documentId="13_ncr:1_{FA62BF6E-F788-42E6-88FF-C81712F997B7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1" l="1"/>
  <c r="D9" i="1"/>
  <c r="B9" i="1"/>
  <c r="E4" i="1"/>
  <c r="E3" i="1"/>
  <c r="E2" i="1"/>
  <c r="C5" i="1"/>
  <c r="D5" i="1"/>
  <c r="B5" i="1"/>
  <c r="C4" i="1"/>
  <c r="D4" i="1"/>
  <c r="B4" i="1"/>
  <c r="D23" i="7"/>
  <c r="F2" i="4"/>
  <c r="D24" i="7"/>
  <c r="E5" i="1" l="1"/>
</calcChain>
</file>

<file path=xl/sharedStrings.xml><?xml version="1.0" encoding="utf-8"?>
<sst xmlns="http://schemas.openxmlformats.org/spreadsheetml/2006/main" count="148" uniqueCount="77">
  <si>
    <t>Chocolate Chip</t>
  </si>
  <si>
    <t>Oatmeal Raisin</t>
  </si>
  <si>
    <t>Sugar Cookie</t>
  </si>
  <si>
    <t>Totals</t>
  </si>
  <si>
    <t>Tax Rate</t>
  </si>
  <si>
    <t>Revenue</t>
  </si>
  <si>
    <t>Cost</t>
  </si>
  <si>
    <t>Profit</t>
  </si>
  <si>
    <t>Tax</t>
  </si>
  <si>
    <t>Profit Split</t>
  </si>
  <si>
    <t>* and / evaluated first</t>
  </si>
  <si>
    <t>+ and - evaluated second</t>
  </si>
  <si>
    <t>Use parentheses to control the order</t>
  </si>
  <si>
    <t>Cookie Name</t>
  </si>
  <si>
    <t>Cookies Sold</t>
  </si>
  <si>
    <t xml:space="preserve">How many cookies sold? </t>
  </si>
  <si>
    <t>Most # of cookies sold</t>
  </si>
  <si>
    <t>Least # of cookies sold</t>
  </si>
  <si>
    <t>Snickerdoodle</t>
  </si>
  <si>
    <t>2nd most sold</t>
  </si>
  <si>
    <t>Birthday Cake</t>
  </si>
  <si>
    <t>2nd least sold</t>
  </si>
  <si>
    <t>Peanut Butter</t>
  </si>
  <si>
    <t># of cookies with sales?</t>
  </si>
  <si>
    <t>Fortune</t>
  </si>
  <si>
    <t>Average sold?</t>
  </si>
  <si>
    <t>What # is in the middle?</t>
  </si>
  <si>
    <t>What # occurs most frequently?</t>
  </si>
  <si>
    <t>Country</t>
  </si>
  <si>
    <t>United States</t>
  </si>
  <si>
    <t>Sumif</t>
  </si>
  <si>
    <t>sumifs</t>
  </si>
  <si>
    <t>Averageif</t>
  </si>
  <si>
    <t>Averageifs</t>
  </si>
  <si>
    <t>India</t>
  </si>
  <si>
    <t>Countif</t>
  </si>
  <si>
    <t>Countifs</t>
  </si>
  <si>
    <t>Minifs</t>
  </si>
  <si>
    <t>Maxifs</t>
  </si>
  <si>
    <t>Philippines</t>
  </si>
  <si>
    <t>Proper</t>
  </si>
  <si>
    <t>kevin cookie company</t>
  </si>
  <si>
    <t>Kevin Cookie Company</t>
  </si>
  <si>
    <t>Trim</t>
  </si>
  <si>
    <t xml:space="preserve">   Kevin Cookie Company</t>
  </si>
  <si>
    <t>Concat</t>
  </si>
  <si>
    <t>Kevin</t>
  </si>
  <si>
    <t>Cookie</t>
  </si>
  <si>
    <t>Company</t>
  </si>
  <si>
    <t>Kevin Cookie</t>
  </si>
  <si>
    <t>&amp;</t>
  </si>
  <si>
    <t>Kevin CookieCompany</t>
  </si>
  <si>
    <t>Text Join</t>
  </si>
  <si>
    <t>Right, Left, Mid</t>
  </si>
  <si>
    <t>123 Main Street, 05486</t>
  </si>
  <si>
    <t>Len</t>
  </si>
  <si>
    <t>Find (case-sensitive) and search (not case-sensitive)</t>
  </si>
  <si>
    <t>sue@kevincookiecompany.com</t>
  </si>
  <si>
    <t>Left together with find</t>
  </si>
  <si>
    <t>sue</t>
  </si>
  <si>
    <t>True / False</t>
  </si>
  <si>
    <t>Mrs. Fields</t>
  </si>
  <si>
    <t>If</t>
  </si>
  <si>
    <t>Do we sell more chocolate chip or oatmeal raisin?</t>
  </si>
  <si>
    <t>AND</t>
  </si>
  <si>
    <t>Does chocolate chip sell more than all other cookies?</t>
  </si>
  <si>
    <t>no</t>
  </si>
  <si>
    <t>OR</t>
  </si>
  <si>
    <t>Does chocolate chip sell more than oatmeal raisin or sugar?</t>
  </si>
  <si>
    <t>Cookie Type</t>
  </si>
  <si>
    <t>Price</t>
  </si>
  <si>
    <t>Nested If / Ifs</t>
  </si>
  <si>
    <t>What is the price of:</t>
  </si>
  <si>
    <t>Chip</t>
  </si>
  <si>
    <t>Raisin</t>
  </si>
  <si>
    <t xml:space="preserve"> </t>
  </si>
  <si>
    <t>BUSINESS PERFORMANCE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</si>
</sst>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₦-466]\ #,##0"/>
    <numFmt numFmtId="165" formatCode="&quot;$&quot;#,##0.00"/>
  </numFmts>
  <fonts count="6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  <font>
      <b/>
      <sz val="2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9" fontId="1" fillId="0" borderId="0" xfId="0" applyNumberFormat="1" applyFont="1"/>
    <xf numFmtId="0" fontId="1" fillId="0" borderId="0" xfId="0" applyFont="1" applyAlignment="1">
      <alignment horizontal="left" vertical="center" indent="1"/>
    </xf>
    <xf numFmtId="0" fontId="1" fillId="0" borderId="0" xfId="0" applyFont="1" applyAlignment="1">
      <alignment vertical="center"/>
    </xf>
    <xf numFmtId="0" fontId="3" fillId="0" borderId="0" xfId="1"/>
    <xf numFmtId="164" fontId="1" fillId="0" borderId="0" xfId="0" applyNumberFormat="1" applyFont="1"/>
    <xf numFmtId="0" fontId="4" fillId="2" borderId="0" xfId="0" applyFont="1" applyFill="1"/>
    <xf numFmtId="164" fontId="1" fillId="3" borderId="0" xfId="0" applyNumberFormat="1" applyFont="1" applyFill="1"/>
    <xf numFmtId="0" fontId="1" fillId="0" borderId="0" xfId="0" applyFont="1"/>
    <xf numFmtId="165" fontId="0" fillId="0" borderId="0" xfId="0" applyNumberFormat="1"/>
    <xf numFmtId="0" fontId="5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Split 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Sheet1!$A$9</c:f>
              <c:strCache>
                <c:ptCount val="1"/>
                <c:pt idx="0">
                  <c:v>Profit Split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elete val="1"/>
          </c:dLbls>
          <c:val>
            <c:numRef>
              <c:f>Sheet1!$B$9:$D$9</c:f>
              <c:numCache>
                <c:formatCode>0%</c:formatCode>
                <c:ptCount val="3"/>
                <c:pt idx="0">
                  <c:v>0.2</c:v>
                </c:pt>
                <c:pt idx="1">
                  <c:v>0.5</c:v>
                </c:pt>
                <c:pt idx="2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95-4D7F-B344-2CBFC3B71CF2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  <a:r>
              <a:rPr lang="en-US" baseline="0"/>
              <a:t> Vs Cost &amp; Profit </a:t>
            </a:r>
          </a:p>
        </c:rich>
      </c:tx>
      <c:layout>
        <c:manualLayout>
          <c:xMode val="edge"/>
          <c:yMode val="edge"/>
          <c:x val="0.23416098320973353"/>
          <c:y val="4.055659401252677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012604482914114"/>
          <c:y val="0.19148354104838264"/>
          <c:w val="0.83646485215485422"/>
          <c:h val="0.625241813812944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Chip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Sheet1!$A$2:$A$5</c:f>
              <c:strCache>
                <c:ptCount val="4"/>
                <c:pt idx="0">
                  <c:v>Revenue</c:v>
                </c:pt>
                <c:pt idx="1">
                  <c:v>Cost</c:v>
                </c:pt>
                <c:pt idx="2">
                  <c:v>Profit</c:v>
                </c:pt>
                <c:pt idx="3">
                  <c:v>Tax</c:v>
                </c:pt>
              </c:strCache>
            </c:strRef>
          </c:cat>
          <c:val>
            <c:numRef>
              <c:f>Sheet1!$B$2:$B$5</c:f>
              <c:numCache>
                <c:formatCode>[$₦-466]\ #,##0</c:formatCode>
                <c:ptCount val="4"/>
                <c:pt idx="0">
                  <c:v>10000</c:v>
                </c:pt>
                <c:pt idx="1">
                  <c:v>8000</c:v>
                </c:pt>
                <c:pt idx="2">
                  <c:v>2000</c:v>
                </c:pt>
                <c:pt idx="3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2A-444F-A3DF-2B26344E2494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Raisin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Revenue</c:v>
                </c:pt>
                <c:pt idx="1">
                  <c:v>Cost</c:v>
                </c:pt>
                <c:pt idx="2">
                  <c:v>Profit</c:v>
                </c:pt>
                <c:pt idx="3">
                  <c:v>Tax</c:v>
                </c:pt>
              </c:strCache>
            </c:strRef>
          </c:cat>
          <c:val>
            <c:numRef>
              <c:f>Sheet1!$C$2:$C$5</c:f>
              <c:numCache>
                <c:formatCode>[$₦-466]\ #,##0</c:formatCode>
                <c:ptCount val="4"/>
                <c:pt idx="0">
                  <c:v>8000</c:v>
                </c:pt>
                <c:pt idx="1">
                  <c:v>3000</c:v>
                </c:pt>
                <c:pt idx="2">
                  <c:v>5000</c:v>
                </c:pt>
                <c:pt idx="3">
                  <c:v>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A2A-444F-A3DF-2B26344E2494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Cookie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Revenue</c:v>
                </c:pt>
                <c:pt idx="1">
                  <c:v>Cost</c:v>
                </c:pt>
                <c:pt idx="2">
                  <c:v>Profit</c:v>
                </c:pt>
                <c:pt idx="3">
                  <c:v>Tax</c:v>
                </c:pt>
              </c:strCache>
            </c:strRef>
          </c:cat>
          <c:val>
            <c:numRef>
              <c:f>Sheet1!$D$2:$D$5</c:f>
              <c:numCache>
                <c:formatCode>[$₦-466]\ #,##0</c:formatCode>
                <c:ptCount val="4"/>
                <c:pt idx="0">
                  <c:v>5000</c:v>
                </c:pt>
                <c:pt idx="1">
                  <c:v>2000</c:v>
                </c:pt>
                <c:pt idx="2">
                  <c:v>3000</c:v>
                </c:pt>
                <c:pt idx="3">
                  <c:v>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A2A-444F-A3DF-2B26344E24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6095648"/>
        <c:axId val="756098528"/>
      </c:barChart>
      <c:lineChart>
        <c:grouping val="standard"/>
        <c:varyColors val="0"/>
        <c:ser>
          <c:idx val="3"/>
          <c:order val="3"/>
          <c:tx>
            <c:strRef>
              <c:f>Sheet1!$E$1</c:f>
              <c:strCache>
                <c:ptCount val="1"/>
                <c:pt idx="0">
                  <c:v>Totals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Sheet1!$A$2:$A$5</c:f>
              <c:strCache>
                <c:ptCount val="4"/>
                <c:pt idx="0">
                  <c:v>Revenue</c:v>
                </c:pt>
                <c:pt idx="1">
                  <c:v>Cost</c:v>
                </c:pt>
                <c:pt idx="2">
                  <c:v>Profit</c:v>
                </c:pt>
                <c:pt idx="3">
                  <c:v>Tax</c:v>
                </c:pt>
              </c:strCache>
            </c:strRef>
          </c:cat>
          <c:val>
            <c:numRef>
              <c:f>Sheet1!$E$2:$E$5</c:f>
              <c:numCache>
                <c:formatCode>[$₦-466]\ #,##0</c:formatCode>
                <c:ptCount val="4"/>
                <c:pt idx="0">
                  <c:v>23000</c:v>
                </c:pt>
                <c:pt idx="1">
                  <c:v>13000</c:v>
                </c:pt>
                <c:pt idx="2">
                  <c:v>10000</c:v>
                </c:pt>
                <c:pt idx="3">
                  <c:v>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A2A-444F-A3DF-2B26344E24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56095648"/>
        <c:axId val="756098528"/>
      </c:lineChart>
      <c:catAx>
        <c:axId val="756095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6098528"/>
        <c:crosses val="autoZero"/>
        <c:auto val="1"/>
        <c:lblAlgn val="ctr"/>
        <c:lblOffset val="100"/>
        <c:noMultiLvlLbl val="0"/>
      </c:catAx>
      <c:valAx>
        <c:axId val="756098528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[$₦-466]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6095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22679</xdr:colOff>
      <xdr:row>25</xdr:row>
      <xdr:rowOff>155620</xdr:rowOff>
    </xdr:from>
    <xdr:to>
      <xdr:col>5</xdr:col>
      <xdr:colOff>356211</xdr:colOff>
      <xdr:row>51</xdr:row>
      <xdr:rowOff>7422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573722-728D-6671-5077-0C4ABE2440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10</xdr:row>
      <xdr:rowOff>14245</xdr:rowOff>
    </xdr:from>
    <xdr:to>
      <xdr:col>5</xdr:col>
      <xdr:colOff>341527</xdr:colOff>
      <xdr:row>25</xdr:row>
      <xdr:rowOff>54404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F15FE8C-FCFA-5586-4521-F7D30743B6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mailto:sue@kevincookiecompany.com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2"/>
  <sheetViews>
    <sheetView tabSelected="1" zoomScale="42" zoomScaleNormal="42" workbookViewId="0">
      <selection activeCell="J21" sqref="J21"/>
    </sheetView>
  </sheetViews>
  <sheetFormatPr defaultRowHeight="14.5" x14ac:dyDescent="0.35"/>
  <cols>
    <col min="1" max="1" width="9.81640625" bestFit="1" customWidth="1"/>
    <col min="2" max="2" width="13.7265625" bestFit="1" customWidth="1"/>
    <col min="3" max="3" width="13.54296875" bestFit="1" customWidth="1"/>
    <col min="4" max="4" width="12" bestFit="1" customWidth="1"/>
    <col min="5" max="5" width="11.453125" bestFit="1" customWidth="1"/>
  </cols>
  <sheetData>
    <row r="1" spans="1:8" x14ac:dyDescent="0.35">
      <c r="A1" s="1"/>
      <c r="B1" s="8" t="s">
        <v>73</v>
      </c>
      <c r="C1" s="8" t="s">
        <v>74</v>
      </c>
      <c r="D1" s="8" t="s">
        <v>47</v>
      </c>
      <c r="E1" s="8" t="s">
        <v>3</v>
      </c>
      <c r="F1" s="1"/>
      <c r="G1" s="8" t="s">
        <v>4</v>
      </c>
      <c r="H1" s="1"/>
    </row>
    <row r="2" spans="1:8" x14ac:dyDescent="0.35">
      <c r="A2" s="8" t="s">
        <v>5</v>
      </c>
      <c r="B2" s="7">
        <v>10000</v>
      </c>
      <c r="C2" s="7">
        <v>8000</v>
      </c>
      <c r="D2" s="7">
        <v>5000</v>
      </c>
      <c r="E2" s="9">
        <f>SUM(B2:D2)</f>
        <v>23000</v>
      </c>
      <c r="F2" s="1"/>
      <c r="G2" s="3">
        <v>0.1</v>
      </c>
      <c r="H2" s="1"/>
    </row>
    <row r="3" spans="1:8" x14ac:dyDescent="0.35">
      <c r="A3" s="8" t="s">
        <v>6</v>
      </c>
      <c r="B3" s="7">
        <v>8000</v>
      </c>
      <c r="C3" s="7">
        <v>3000</v>
      </c>
      <c r="D3" s="7">
        <v>2000</v>
      </c>
      <c r="E3" s="9">
        <f>SUM(B3:D3)</f>
        <v>13000</v>
      </c>
      <c r="F3" s="1"/>
      <c r="G3" s="1"/>
      <c r="H3" s="1"/>
    </row>
    <row r="4" spans="1:8" x14ac:dyDescent="0.35">
      <c r="A4" s="8" t="s">
        <v>7</v>
      </c>
      <c r="B4" s="7">
        <f>B2-B3</f>
        <v>2000</v>
      </c>
      <c r="C4" s="7">
        <f t="shared" ref="C4:D4" si="0">C2-C3</f>
        <v>5000</v>
      </c>
      <c r="D4" s="7">
        <f t="shared" si="0"/>
        <v>3000</v>
      </c>
      <c r="E4" s="9">
        <f>SUM(B4:D4)</f>
        <v>10000</v>
      </c>
      <c r="F4" s="1"/>
      <c r="G4" s="1"/>
      <c r="H4" s="1"/>
    </row>
    <row r="5" spans="1:8" x14ac:dyDescent="0.35">
      <c r="A5" s="8" t="s">
        <v>8</v>
      </c>
      <c r="B5" s="7">
        <f>B4*$G$2</f>
        <v>200</v>
      </c>
      <c r="C5" s="7">
        <f t="shared" ref="C5:D5" si="1">C4*$G$2</f>
        <v>500</v>
      </c>
      <c r="D5" s="7">
        <f t="shared" si="1"/>
        <v>300</v>
      </c>
      <c r="E5" s="9">
        <f t="shared" ref="E3:E7" si="2">SUM(B5:D5)</f>
        <v>1000</v>
      </c>
      <c r="F5" s="1"/>
      <c r="G5" s="1"/>
      <c r="H5" s="1"/>
    </row>
    <row r="6" spans="1:8" x14ac:dyDescent="0.35">
      <c r="A6" s="2"/>
      <c r="B6" s="1"/>
      <c r="C6" s="4"/>
      <c r="D6" s="1"/>
      <c r="E6" s="9"/>
      <c r="F6" s="1"/>
      <c r="G6" s="1"/>
      <c r="H6" s="1"/>
    </row>
    <row r="7" spans="1:8" x14ac:dyDescent="0.35">
      <c r="A7" s="1"/>
      <c r="B7" s="1"/>
      <c r="C7" s="4"/>
      <c r="D7" s="11"/>
      <c r="E7" s="9"/>
      <c r="F7" s="1"/>
      <c r="G7" s="1"/>
      <c r="H7" s="1"/>
    </row>
    <row r="8" spans="1:8" x14ac:dyDescent="0.35">
      <c r="A8" s="1"/>
      <c r="B8" s="1"/>
      <c r="C8" s="4"/>
      <c r="D8" s="1"/>
      <c r="E8" s="1"/>
      <c r="F8" s="1"/>
      <c r="G8" s="1"/>
      <c r="H8" s="1"/>
    </row>
    <row r="9" spans="1:8" x14ac:dyDescent="0.35">
      <c r="A9" s="8" t="s">
        <v>9</v>
      </c>
      <c r="B9" s="3">
        <f>B4/$E$4</f>
        <v>0.2</v>
      </c>
      <c r="C9" s="3">
        <f t="shared" ref="C9:D9" si="3">C4/$E$4</f>
        <v>0.5</v>
      </c>
      <c r="D9" s="3">
        <f t="shared" si="3"/>
        <v>0.3</v>
      </c>
      <c r="E9" s="1"/>
      <c r="F9" s="1"/>
      <c r="G9" s="1"/>
      <c r="H9" s="1"/>
    </row>
    <row r="10" spans="1:8" ht="28.5" x14ac:dyDescent="0.65">
      <c r="A10" s="12" t="s">
        <v>76</v>
      </c>
      <c r="B10" s="1"/>
      <c r="C10" s="4"/>
      <c r="D10" s="1"/>
      <c r="E10" s="1"/>
      <c r="F10" s="1"/>
      <c r="G10" s="1"/>
      <c r="H10" s="1"/>
    </row>
    <row r="11" spans="1:8" x14ac:dyDescent="0.35">
      <c r="A11" s="1"/>
      <c r="B11" s="1"/>
      <c r="C11" s="4"/>
      <c r="D11" s="1"/>
      <c r="E11" s="1"/>
      <c r="F11" s="1"/>
      <c r="G11" s="1"/>
      <c r="H11" s="1"/>
    </row>
    <row r="12" spans="1:8" x14ac:dyDescent="0.35">
      <c r="A12" s="1"/>
      <c r="B12" s="1"/>
      <c r="C12" s="4"/>
      <c r="D12" s="1"/>
      <c r="E12" s="1"/>
      <c r="F12" s="1"/>
      <c r="G12" s="1"/>
      <c r="H12" s="1"/>
    </row>
    <row r="13" spans="1:8" x14ac:dyDescent="0.35">
      <c r="A13" s="1"/>
      <c r="B13" s="1"/>
      <c r="C13" s="1"/>
      <c r="D13" s="1"/>
      <c r="E13" s="1"/>
      <c r="F13" s="1"/>
      <c r="G13" s="1"/>
      <c r="H13" s="1"/>
    </row>
    <row r="22" spans="9:9" x14ac:dyDescent="0.35">
      <c r="I22" t="s">
        <v>75</v>
      </c>
    </row>
    <row r="42" spans="23:23" x14ac:dyDescent="0.35">
      <c r="W42" t="s">
        <v>75</v>
      </c>
    </row>
  </sheetData>
  <pageMargins left="0.7" right="0.7" top="0.75" bottom="0.75" header="0.3" footer="0.3"/>
  <pageSetup scale="8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>
      <selection sqref="A1:B3"/>
    </sheetView>
  </sheetViews>
  <sheetFormatPr defaultRowHeight="14.5" x14ac:dyDescent="0.35"/>
  <sheetData>
    <row r="1" spans="1:2" x14ac:dyDescent="0.35">
      <c r="A1" s="2" t="s">
        <v>4</v>
      </c>
      <c r="B1" s="1"/>
    </row>
    <row r="2" spans="1:2" x14ac:dyDescent="0.35">
      <c r="A2" s="3">
        <v>0.1</v>
      </c>
      <c r="B2" s="1"/>
    </row>
    <row r="3" spans="1:2" x14ac:dyDescent="0.35">
      <c r="A3" s="1"/>
      <c r="B3" s="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"/>
  <sheetViews>
    <sheetView workbookViewId="0">
      <selection sqref="A1:E10"/>
    </sheetView>
  </sheetViews>
  <sheetFormatPr defaultRowHeight="14.5" x14ac:dyDescent="0.35"/>
  <sheetData>
    <row r="1" spans="1:5" x14ac:dyDescent="0.35">
      <c r="A1" s="1"/>
      <c r="B1" s="2" t="s">
        <v>0</v>
      </c>
      <c r="C1" s="1"/>
      <c r="D1" s="2" t="s">
        <v>4</v>
      </c>
      <c r="E1" s="1"/>
    </row>
    <row r="2" spans="1:5" x14ac:dyDescent="0.35">
      <c r="A2" s="2" t="s">
        <v>5</v>
      </c>
      <c r="B2" s="1">
        <v>10</v>
      </c>
      <c r="C2" s="1"/>
      <c r="D2" s="3">
        <v>0.1</v>
      </c>
      <c r="E2" s="1"/>
    </row>
    <row r="3" spans="1:5" x14ac:dyDescent="0.35">
      <c r="A3" s="2" t="s">
        <v>6</v>
      </c>
      <c r="B3" s="1">
        <v>4</v>
      </c>
      <c r="C3" s="1"/>
      <c r="D3" s="1"/>
      <c r="E3" s="1"/>
    </row>
    <row r="4" spans="1:5" x14ac:dyDescent="0.35">
      <c r="A4" s="2" t="s">
        <v>7</v>
      </c>
      <c r="B4" s="1">
        <v>6</v>
      </c>
      <c r="C4" s="1"/>
      <c r="D4" s="1"/>
      <c r="E4" s="1"/>
    </row>
    <row r="5" spans="1:5" x14ac:dyDescent="0.35">
      <c r="A5" s="2" t="s">
        <v>8</v>
      </c>
      <c r="B5" s="1">
        <v>0.6</v>
      </c>
      <c r="C5" s="1"/>
      <c r="D5" s="1"/>
      <c r="E5" s="1"/>
    </row>
    <row r="6" spans="1:5" x14ac:dyDescent="0.35">
      <c r="A6" s="1"/>
      <c r="B6" s="1"/>
      <c r="C6" s="1"/>
      <c r="D6" s="1"/>
      <c r="E6" s="1"/>
    </row>
    <row r="7" spans="1:5" x14ac:dyDescent="0.35">
      <c r="A7" s="5" t="s">
        <v>10</v>
      </c>
      <c r="B7" s="1"/>
      <c r="C7" s="1"/>
      <c r="D7" s="1"/>
      <c r="E7" s="1"/>
    </row>
    <row r="8" spans="1:5" x14ac:dyDescent="0.35">
      <c r="A8" s="5" t="s">
        <v>11</v>
      </c>
      <c r="B8" s="1"/>
      <c r="C8" s="1"/>
      <c r="D8" s="1"/>
      <c r="E8" s="1"/>
    </row>
    <row r="9" spans="1:5" x14ac:dyDescent="0.35">
      <c r="A9" s="1" t="s">
        <v>12</v>
      </c>
      <c r="B9" s="1"/>
      <c r="C9" s="1"/>
      <c r="D9" s="1"/>
      <c r="E9" s="1"/>
    </row>
    <row r="10" spans="1:5" x14ac:dyDescent="0.35">
      <c r="A10" s="1"/>
      <c r="B10" s="1"/>
      <c r="C10" s="1"/>
      <c r="D10" s="1"/>
      <c r="E10" s="1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3"/>
  <sheetViews>
    <sheetView workbookViewId="0">
      <selection sqref="A1:G13"/>
    </sheetView>
  </sheetViews>
  <sheetFormatPr defaultRowHeight="14.5" x14ac:dyDescent="0.35"/>
  <sheetData>
    <row r="1" spans="1:7" x14ac:dyDescent="0.35">
      <c r="A1" s="2" t="s">
        <v>13</v>
      </c>
      <c r="B1" s="2" t="s">
        <v>14</v>
      </c>
      <c r="C1" s="10"/>
      <c r="D1" s="10"/>
      <c r="E1" s="1"/>
      <c r="F1" s="1"/>
      <c r="G1" s="1"/>
    </row>
    <row r="2" spans="1:7" x14ac:dyDescent="0.35">
      <c r="A2" s="1" t="s">
        <v>0</v>
      </c>
      <c r="B2" s="1">
        <v>97</v>
      </c>
      <c r="C2" s="1"/>
      <c r="D2" s="1" t="s">
        <v>15</v>
      </c>
      <c r="E2" s="1">
        <v>421</v>
      </c>
      <c r="F2" s="1">
        <f>SUM(B2:B8)</f>
        <v>421</v>
      </c>
      <c r="G2" s="1"/>
    </row>
    <row r="3" spans="1:7" x14ac:dyDescent="0.35">
      <c r="A3" s="1" t="s">
        <v>1</v>
      </c>
      <c r="B3" s="1">
        <v>77</v>
      </c>
      <c r="C3" s="1"/>
      <c r="D3" s="1" t="s">
        <v>16</v>
      </c>
      <c r="E3" s="1">
        <v>97</v>
      </c>
      <c r="F3" s="1"/>
      <c r="G3" s="1"/>
    </row>
    <row r="4" spans="1:7" x14ac:dyDescent="0.35">
      <c r="A4" s="1" t="s">
        <v>2</v>
      </c>
      <c r="B4" s="1">
        <v>67</v>
      </c>
      <c r="C4" s="1"/>
      <c r="D4" s="1" t="s">
        <v>17</v>
      </c>
      <c r="E4" s="1">
        <v>36</v>
      </c>
      <c r="F4" s="1"/>
      <c r="G4" s="1"/>
    </row>
    <row r="5" spans="1:7" x14ac:dyDescent="0.35">
      <c r="A5" s="1" t="s">
        <v>18</v>
      </c>
      <c r="B5" s="1">
        <v>52</v>
      </c>
      <c r="C5" s="1"/>
      <c r="D5" s="1" t="s">
        <v>19</v>
      </c>
      <c r="E5" s="1">
        <v>77</v>
      </c>
      <c r="F5" s="1"/>
      <c r="G5" s="1"/>
    </row>
    <row r="6" spans="1:7" x14ac:dyDescent="0.35">
      <c r="A6" s="1" t="s">
        <v>20</v>
      </c>
      <c r="B6" s="1">
        <v>52</v>
      </c>
      <c r="C6" s="1"/>
      <c r="D6" s="1" t="s">
        <v>21</v>
      </c>
      <c r="E6" s="1">
        <v>40</v>
      </c>
      <c r="F6" s="1"/>
      <c r="G6" s="1"/>
    </row>
    <row r="7" spans="1:7" x14ac:dyDescent="0.35">
      <c r="A7" s="1" t="s">
        <v>22</v>
      </c>
      <c r="B7" s="1">
        <v>40</v>
      </c>
      <c r="C7" s="1"/>
      <c r="D7" s="1" t="s">
        <v>23</v>
      </c>
      <c r="E7" s="1">
        <v>7</v>
      </c>
      <c r="F7" s="1"/>
      <c r="G7" s="1"/>
    </row>
    <row r="8" spans="1:7" x14ac:dyDescent="0.35">
      <c r="A8" s="1" t="s">
        <v>24</v>
      </c>
      <c r="B8" s="1">
        <v>36</v>
      </c>
      <c r="C8" s="10"/>
      <c r="D8" s="10"/>
      <c r="E8" s="1">
        <v>7</v>
      </c>
      <c r="F8" s="1"/>
      <c r="G8" s="1"/>
    </row>
    <row r="9" spans="1:7" x14ac:dyDescent="0.35">
      <c r="A9" s="1"/>
      <c r="B9" s="1"/>
      <c r="C9" s="10"/>
      <c r="D9" s="10"/>
      <c r="E9" s="1">
        <v>1</v>
      </c>
      <c r="F9" s="1"/>
      <c r="G9" s="1"/>
    </row>
    <row r="10" spans="1:7" x14ac:dyDescent="0.35">
      <c r="A10" s="1"/>
      <c r="B10" s="1"/>
      <c r="C10" s="1"/>
      <c r="D10" s="1" t="s">
        <v>25</v>
      </c>
      <c r="E10" s="1">
        <v>60.142857139999997</v>
      </c>
      <c r="F10" s="1"/>
      <c r="G10" s="1"/>
    </row>
    <row r="11" spans="1:7" x14ac:dyDescent="0.35">
      <c r="A11" s="1"/>
      <c r="B11" s="1"/>
      <c r="C11" s="1"/>
      <c r="D11" s="1" t="s">
        <v>26</v>
      </c>
      <c r="E11" s="1">
        <v>52</v>
      </c>
      <c r="F11" s="1"/>
      <c r="G11" s="1"/>
    </row>
    <row r="12" spans="1:7" x14ac:dyDescent="0.35">
      <c r="A12" s="1"/>
      <c r="B12" s="1"/>
      <c r="C12" s="1"/>
      <c r="D12" s="1" t="s">
        <v>27</v>
      </c>
      <c r="E12" s="1">
        <v>52</v>
      </c>
      <c r="F12" s="1"/>
      <c r="G12" s="1"/>
    </row>
    <row r="13" spans="1:7" x14ac:dyDescent="0.35">
      <c r="A13" s="1"/>
      <c r="B13" s="1"/>
      <c r="C13" s="10"/>
      <c r="D13" s="10"/>
      <c r="E13" s="1"/>
      <c r="F13" s="1"/>
      <c r="G13" s="1"/>
    </row>
  </sheetData>
  <mergeCells count="4">
    <mergeCell ref="C1:D1"/>
    <mergeCell ref="C8:D8"/>
    <mergeCell ref="C9:D9"/>
    <mergeCell ref="C13:D13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3"/>
  <sheetViews>
    <sheetView workbookViewId="0">
      <selection sqref="A1:G23"/>
    </sheetView>
  </sheetViews>
  <sheetFormatPr defaultRowHeight="14.5" x14ac:dyDescent="0.35"/>
  <sheetData>
    <row r="1" spans="1:7" x14ac:dyDescent="0.35">
      <c r="A1" s="2" t="s">
        <v>13</v>
      </c>
      <c r="B1" s="2" t="s">
        <v>28</v>
      </c>
      <c r="C1" s="2" t="s">
        <v>14</v>
      </c>
      <c r="D1" s="1"/>
      <c r="E1" s="1"/>
      <c r="F1" s="1"/>
      <c r="G1" s="1"/>
    </row>
    <row r="2" spans="1:7" x14ac:dyDescent="0.35">
      <c r="A2" s="1" t="s">
        <v>0</v>
      </c>
      <c r="B2" s="1" t="s">
        <v>29</v>
      </c>
      <c r="C2" s="1">
        <v>28</v>
      </c>
      <c r="D2" s="1"/>
      <c r="E2" s="1" t="s">
        <v>30</v>
      </c>
      <c r="F2" s="1">
        <v>802</v>
      </c>
      <c r="G2" s="1"/>
    </row>
    <row r="3" spans="1:7" x14ac:dyDescent="0.35">
      <c r="A3" s="1" t="s">
        <v>1</v>
      </c>
      <c r="B3" s="1" t="s">
        <v>29</v>
      </c>
      <c r="C3" s="1">
        <v>32</v>
      </c>
      <c r="D3" s="1"/>
      <c r="E3" s="1" t="s">
        <v>31</v>
      </c>
      <c r="F3" s="1">
        <v>60</v>
      </c>
      <c r="G3" s="1"/>
    </row>
    <row r="4" spans="1:7" x14ac:dyDescent="0.35">
      <c r="A4" s="1" t="s">
        <v>2</v>
      </c>
      <c r="B4" s="1" t="s">
        <v>29</v>
      </c>
      <c r="C4" s="1">
        <v>52</v>
      </c>
      <c r="D4" s="1"/>
      <c r="E4" s="1"/>
      <c r="F4" s="1"/>
      <c r="G4" s="1"/>
    </row>
    <row r="5" spans="1:7" x14ac:dyDescent="0.35">
      <c r="A5" s="1" t="s">
        <v>18</v>
      </c>
      <c r="B5" s="1" t="s">
        <v>29</v>
      </c>
      <c r="C5" s="1">
        <v>67</v>
      </c>
      <c r="D5" s="1"/>
      <c r="E5" s="1"/>
      <c r="F5" s="1"/>
      <c r="G5" s="1"/>
    </row>
    <row r="6" spans="1:7" x14ac:dyDescent="0.35">
      <c r="A6" s="1" t="s">
        <v>20</v>
      </c>
      <c r="B6" s="1" t="s">
        <v>29</v>
      </c>
      <c r="C6" s="1">
        <v>44</v>
      </c>
      <c r="D6" s="1"/>
      <c r="E6" s="1"/>
      <c r="F6" s="1"/>
      <c r="G6" s="1"/>
    </row>
    <row r="7" spans="1:7" x14ac:dyDescent="0.35">
      <c r="A7" s="1" t="s">
        <v>22</v>
      </c>
      <c r="B7" s="1" t="s">
        <v>29</v>
      </c>
      <c r="C7" s="1">
        <v>39</v>
      </c>
      <c r="D7" s="1"/>
      <c r="E7" s="1" t="s">
        <v>32</v>
      </c>
      <c r="F7" s="1"/>
      <c r="G7" s="1"/>
    </row>
    <row r="8" spans="1:7" x14ac:dyDescent="0.35">
      <c r="A8" s="1" t="s">
        <v>24</v>
      </c>
      <c r="B8" s="1" t="s">
        <v>29</v>
      </c>
      <c r="C8" s="1">
        <v>100</v>
      </c>
      <c r="D8" s="1"/>
      <c r="E8" s="1" t="s">
        <v>33</v>
      </c>
      <c r="F8" s="1"/>
      <c r="G8" s="1"/>
    </row>
    <row r="9" spans="1:7" x14ac:dyDescent="0.35">
      <c r="A9" s="1" t="s">
        <v>0</v>
      </c>
      <c r="B9" s="1" t="s">
        <v>34</v>
      </c>
      <c r="C9" s="1">
        <v>75</v>
      </c>
      <c r="D9" s="1"/>
      <c r="E9" s="1" t="s">
        <v>35</v>
      </c>
      <c r="F9" s="1"/>
      <c r="G9" s="1"/>
    </row>
    <row r="10" spans="1:7" x14ac:dyDescent="0.35">
      <c r="A10" s="1" t="s">
        <v>1</v>
      </c>
      <c r="B10" s="1" t="s">
        <v>34</v>
      </c>
      <c r="C10" s="1">
        <v>32</v>
      </c>
      <c r="D10" s="1"/>
      <c r="E10" s="1" t="s">
        <v>36</v>
      </c>
      <c r="F10" s="1"/>
      <c r="G10" s="1"/>
    </row>
    <row r="11" spans="1:7" x14ac:dyDescent="0.35">
      <c r="A11" s="1" t="s">
        <v>2</v>
      </c>
      <c r="B11" s="1" t="s">
        <v>34</v>
      </c>
      <c r="C11" s="1">
        <v>40</v>
      </c>
      <c r="D11" s="1"/>
      <c r="E11" s="1" t="s">
        <v>37</v>
      </c>
      <c r="F11" s="1"/>
      <c r="G11" s="1"/>
    </row>
    <row r="12" spans="1:7" x14ac:dyDescent="0.35">
      <c r="A12" s="1" t="s">
        <v>18</v>
      </c>
      <c r="B12" s="1" t="s">
        <v>34</v>
      </c>
      <c r="C12" s="1">
        <v>21</v>
      </c>
      <c r="D12" s="1"/>
      <c r="E12" s="1" t="s">
        <v>38</v>
      </c>
      <c r="F12" s="1"/>
      <c r="G12" s="1"/>
    </row>
    <row r="13" spans="1:7" x14ac:dyDescent="0.35">
      <c r="A13" s="1" t="s">
        <v>20</v>
      </c>
      <c r="B13" s="1" t="s">
        <v>34</v>
      </c>
      <c r="C13" s="1">
        <v>58</v>
      </c>
      <c r="D13" s="1"/>
      <c r="E13" s="1"/>
      <c r="F13" s="1"/>
      <c r="G13" s="1"/>
    </row>
    <row r="14" spans="1:7" x14ac:dyDescent="0.35">
      <c r="A14" s="1" t="s">
        <v>22</v>
      </c>
      <c r="B14" s="1" t="s">
        <v>34</v>
      </c>
      <c r="C14" s="1">
        <v>21</v>
      </c>
      <c r="D14" s="1"/>
      <c r="E14" s="1"/>
      <c r="F14" s="1"/>
      <c r="G14" s="1"/>
    </row>
    <row r="15" spans="1:7" x14ac:dyDescent="0.35">
      <c r="A15" s="1" t="s">
        <v>24</v>
      </c>
      <c r="B15" s="1" t="s">
        <v>34</v>
      </c>
      <c r="C15" s="1">
        <v>54</v>
      </c>
      <c r="D15" s="1"/>
      <c r="E15" s="1"/>
      <c r="F15" s="1"/>
      <c r="G15" s="1"/>
    </row>
    <row r="16" spans="1:7" x14ac:dyDescent="0.35">
      <c r="A16" s="1" t="s">
        <v>0</v>
      </c>
      <c r="B16" s="1" t="s">
        <v>39</v>
      </c>
      <c r="C16" s="1">
        <v>55</v>
      </c>
      <c r="D16" s="1"/>
      <c r="E16" s="1"/>
      <c r="F16" s="1"/>
      <c r="G16" s="1"/>
    </row>
    <row r="17" spans="1:7" x14ac:dyDescent="0.35">
      <c r="A17" s="1" t="s">
        <v>1</v>
      </c>
      <c r="B17" s="1" t="s">
        <v>39</v>
      </c>
      <c r="C17" s="1">
        <v>41</v>
      </c>
      <c r="D17" s="1"/>
      <c r="E17" s="1"/>
      <c r="F17" s="1"/>
      <c r="G17" s="1"/>
    </row>
    <row r="18" spans="1:7" x14ac:dyDescent="0.35">
      <c r="A18" s="1" t="s">
        <v>2</v>
      </c>
      <c r="B18" s="1" t="s">
        <v>39</v>
      </c>
      <c r="C18" s="1">
        <v>92</v>
      </c>
      <c r="D18" s="1"/>
      <c r="E18" s="1"/>
      <c r="F18" s="1"/>
      <c r="G18" s="1"/>
    </row>
    <row r="19" spans="1:7" x14ac:dyDescent="0.35">
      <c r="A19" s="1" t="s">
        <v>18</v>
      </c>
      <c r="B19" s="1" t="s">
        <v>39</v>
      </c>
      <c r="C19" s="1">
        <v>89</v>
      </c>
      <c r="D19" s="1"/>
      <c r="E19" s="1"/>
      <c r="F19" s="1"/>
      <c r="G19" s="1"/>
    </row>
    <row r="20" spans="1:7" x14ac:dyDescent="0.35">
      <c r="A20" s="1" t="s">
        <v>20</v>
      </c>
      <c r="B20" s="1" t="s">
        <v>39</v>
      </c>
      <c r="C20" s="1">
        <v>34</v>
      </c>
      <c r="D20" s="1"/>
      <c r="E20" s="1"/>
      <c r="F20" s="1"/>
      <c r="G20" s="1"/>
    </row>
    <row r="21" spans="1:7" x14ac:dyDescent="0.35">
      <c r="A21" s="1" t="s">
        <v>22</v>
      </c>
      <c r="B21" s="1" t="s">
        <v>39</v>
      </c>
      <c r="C21" s="1">
        <v>29</v>
      </c>
      <c r="D21" s="1"/>
      <c r="E21" s="1"/>
      <c r="F21" s="1"/>
      <c r="G21" s="1"/>
    </row>
    <row r="22" spans="1:7" x14ac:dyDescent="0.35">
      <c r="A22" s="1" t="s">
        <v>24</v>
      </c>
      <c r="B22" s="1" t="s">
        <v>39</v>
      </c>
      <c r="C22" s="1">
        <v>100</v>
      </c>
      <c r="D22" s="1"/>
      <c r="E22" s="1"/>
      <c r="F22" s="1"/>
      <c r="G22" s="1"/>
    </row>
    <row r="23" spans="1:7" x14ac:dyDescent="0.35">
      <c r="A23" s="1"/>
      <c r="B23" s="1"/>
      <c r="C23" s="1"/>
      <c r="D23" s="1"/>
      <c r="E23" s="1"/>
      <c r="F23" s="1"/>
      <c r="G23" s="1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33"/>
  <sheetViews>
    <sheetView workbookViewId="0">
      <selection sqref="A1:D33"/>
    </sheetView>
  </sheetViews>
  <sheetFormatPr defaultRowHeight="14.5" x14ac:dyDescent="0.35"/>
  <sheetData>
    <row r="1" spans="1:4" x14ac:dyDescent="0.35">
      <c r="A1" s="2" t="s">
        <v>40</v>
      </c>
      <c r="B1" s="1"/>
      <c r="C1" s="1"/>
      <c r="D1" s="1"/>
    </row>
    <row r="2" spans="1:4" x14ac:dyDescent="0.35">
      <c r="A2" s="1" t="s">
        <v>41</v>
      </c>
      <c r="B2" s="1"/>
      <c r="C2" s="1"/>
      <c r="D2" s="1"/>
    </row>
    <row r="3" spans="1:4" x14ac:dyDescent="0.35">
      <c r="A3" s="1" t="s">
        <v>42</v>
      </c>
      <c r="B3" s="1"/>
      <c r="C3" s="1"/>
      <c r="D3" s="1"/>
    </row>
    <row r="4" spans="1:4" x14ac:dyDescent="0.35">
      <c r="A4" s="1"/>
      <c r="B4" s="1"/>
      <c r="C4" s="1"/>
      <c r="D4" s="1"/>
    </row>
    <row r="5" spans="1:4" x14ac:dyDescent="0.35">
      <c r="A5" s="2" t="s">
        <v>43</v>
      </c>
      <c r="B5" s="1"/>
      <c r="C5" s="1"/>
      <c r="D5" s="1"/>
    </row>
    <row r="6" spans="1:4" x14ac:dyDescent="0.35">
      <c r="A6" s="1" t="s">
        <v>44</v>
      </c>
      <c r="B6" s="1"/>
      <c r="C6" s="1"/>
      <c r="D6" s="1"/>
    </row>
    <row r="7" spans="1:4" x14ac:dyDescent="0.35">
      <c r="A7" s="1" t="s">
        <v>42</v>
      </c>
      <c r="B7" s="1"/>
      <c r="C7" s="1"/>
      <c r="D7" s="1"/>
    </row>
    <row r="8" spans="1:4" x14ac:dyDescent="0.35">
      <c r="A8" s="1"/>
      <c r="B8" s="1"/>
      <c r="C8" s="1"/>
      <c r="D8" s="1"/>
    </row>
    <row r="9" spans="1:4" x14ac:dyDescent="0.35">
      <c r="A9" s="2" t="s">
        <v>45</v>
      </c>
      <c r="B9" s="1"/>
      <c r="C9" s="1"/>
      <c r="D9" s="1"/>
    </row>
    <row r="10" spans="1:4" x14ac:dyDescent="0.35">
      <c r="A10" s="1" t="s">
        <v>46</v>
      </c>
      <c r="B10" s="1" t="s">
        <v>47</v>
      </c>
      <c r="C10" s="1" t="s">
        <v>48</v>
      </c>
      <c r="D10" s="1"/>
    </row>
    <row r="11" spans="1:4" x14ac:dyDescent="0.35">
      <c r="A11" s="1" t="s">
        <v>49</v>
      </c>
      <c r="B11" s="1"/>
      <c r="C11" s="1"/>
      <c r="D11" s="1"/>
    </row>
    <row r="12" spans="1:4" x14ac:dyDescent="0.35">
      <c r="A12" s="1"/>
      <c r="B12" s="1"/>
      <c r="C12" s="1"/>
      <c r="D12" s="1"/>
    </row>
    <row r="13" spans="1:4" x14ac:dyDescent="0.35">
      <c r="A13" s="2" t="s">
        <v>50</v>
      </c>
      <c r="B13" s="1"/>
      <c r="C13" s="1"/>
      <c r="D13" s="1"/>
    </row>
    <row r="14" spans="1:4" x14ac:dyDescent="0.35">
      <c r="A14" s="1" t="s">
        <v>46</v>
      </c>
      <c r="B14" s="1" t="s">
        <v>47</v>
      </c>
      <c r="C14" s="1" t="s">
        <v>48</v>
      </c>
      <c r="D14" s="1"/>
    </row>
    <row r="15" spans="1:4" x14ac:dyDescent="0.35">
      <c r="A15" s="1" t="s">
        <v>51</v>
      </c>
      <c r="B15" s="1"/>
      <c r="C15" s="1"/>
      <c r="D15" s="1"/>
    </row>
    <row r="16" spans="1:4" x14ac:dyDescent="0.35">
      <c r="A16" s="1"/>
      <c r="B16" s="1"/>
      <c r="C16" s="1"/>
      <c r="D16" s="1"/>
    </row>
    <row r="17" spans="1:4" x14ac:dyDescent="0.35">
      <c r="A17" s="2" t="s">
        <v>52</v>
      </c>
      <c r="B17" s="1"/>
      <c r="C17" s="1"/>
      <c r="D17" s="1"/>
    </row>
    <row r="18" spans="1:4" x14ac:dyDescent="0.35">
      <c r="A18" s="1" t="s">
        <v>46</v>
      </c>
      <c r="B18" s="1" t="s">
        <v>47</v>
      </c>
      <c r="C18" s="1" t="s">
        <v>48</v>
      </c>
      <c r="D18" s="1"/>
    </row>
    <row r="19" spans="1:4" x14ac:dyDescent="0.35">
      <c r="A19" s="1" t="s">
        <v>42</v>
      </c>
      <c r="B19" s="1"/>
      <c r="C19" s="1"/>
      <c r="D19" s="1"/>
    </row>
    <row r="20" spans="1:4" x14ac:dyDescent="0.35">
      <c r="A20" s="1"/>
      <c r="B20" s="1"/>
      <c r="C20" s="1"/>
      <c r="D20" s="1"/>
    </row>
    <row r="21" spans="1:4" x14ac:dyDescent="0.35">
      <c r="A21" s="2" t="s">
        <v>53</v>
      </c>
      <c r="B21" s="1"/>
      <c r="C21" s="1"/>
      <c r="D21" s="1"/>
    </row>
    <row r="22" spans="1:4" x14ac:dyDescent="0.35">
      <c r="A22" s="1" t="s">
        <v>54</v>
      </c>
      <c r="B22" s="1"/>
      <c r="C22" s="1"/>
      <c r="D22" s="1"/>
    </row>
    <row r="23" spans="1:4" x14ac:dyDescent="0.35">
      <c r="A23" s="1">
        <v>5486</v>
      </c>
      <c r="B23" s="1"/>
      <c r="C23" s="1"/>
      <c r="D23" s="1"/>
    </row>
    <row r="24" spans="1:4" x14ac:dyDescent="0.35">
      <c r="A24" s="2" t="s">
        <v>55</v>
      </c>
      <c r="B24" s="1"/>
      <c r="C24" s="1"/>
      <c r="D24" s="1"/>
    </row>
    <row r="25" spans="1:4" x14ac:dyDescent="0.35">
      <c r="A25" s="1" t="s">
        <v>42</v>
      </c>
      <c r="B25" s="1"/>
      <c r="C25" s="1"/>
      <c r="D25" s="1"/>
    </row>
    <row r="26" spans="1:4" x14ac:dyDescent="0.35">
      <c r="A26" s="1">
        <v>20</v>
      </c>
      <c r="B26" s="1"/>
      <c r="C26" s="1"/>
      <c r="D26" s="1"/>
    </row>
    <row r="27" spans="1:4" x14ac:dyDescent="0.35">
      <c r="A27" s="2" t="s">
        <v>56</v>
      </c>
      <c r="B27" s="1"/>
      <c r="C27" s="1"/>
      <c r="D27" s="1"/>
    </row>
    <row r="28" spans="1:4" x14ac:dyDescent="0.35">
      <c r="A28" s="6" t="s">
        <v>57</v>
      </c>
      <c r="B28" s="1"/>
      <c r="C28" s="1"/>
      <c r="D28" s="1"/>
    </row>
    <row r="29" spans="1:4" x14ac:dyDescent="0.35">
      <c r="A29" s="1">
        <v>4</v>
      </c>
      <c r="B29" s="1"/>
      <c r="C29" s="1"/>
      <c r="D29" s="1"/>
    </row>
    <row r="30" spans="1:4" x14ac:dyDescent="0.35">
      <c r="A30" s="1"/>
      <c r="B30" s="1"/>
      <c r="C30" s="1"/>
      <c r="D30" s="1"/>
    </row>
    <row r="31" spans="1:4" x14ac:dyDescent="0.35">
      <c r="A31" s="2" t="s">
        <v>58</v>
      </c>
      <c r="B31" s="1"/>
      <c r="C31" s="1"/>
      <c r="D31" s="1"/>
    </row>
    <row r="32" spans="1:4" x14ac:dyDescent="0.35">
      <c r="A32" s="1" t="s">
        <v>59</v>
      </c>
      <c r="B32" s="1"/>
      <c r="C32" s="1"/>
      <c r="D32" s="1"/>
    </row>
    <row r="33" spans="1:4" x14ac:dyDescent="0.35">
      <c r="A33" s="1"/>
      <c r="B33" s="1"/>
      <c r="C33" s="1"/>
      <c r="D33" s="1"/>
    </row>
  </sheetData>
  <hyperlinks>
    <hyperlink ref="A28" r:id="rId1" display="mailto:sue@kevincookiecompany.com" xr:uid="{00000000-0004-0000-0500-000000000000}"/>
  </hyperlinks>
  <pageMargins left="0.7" right="0.7" top="0.75" bottom="0.75" header="0.3" footer="0.3"/>
  <pageSetup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5"/>
  <sheetViews>
    <sheetView workbookViewId="0">
      <selection sqref="A1:F25"/>
    </sheetView>
  </sheetViews>
  <sheetFormatPr defaultRowHeight="14.5" x14ac:dyDescent="0.35"/>
  <sheetData>
    <row r="1" spans="1:6" x14ac:dyDescent="0.35">
      <c r="A1" s="2" t="s">
        <v>60</v>
      </c>
      <c r="B1" s="1"/>
      <c r="C1" s="1"/>
      <c r="D1" s="1"/>
      <c r="E1" s="1"/>
      <c r="F1" s="1"/>
    </row>
    <row r="2" spans="1:6" x14ac:dyDescent="0.35">
      <c r="A2" s="1" t="s">
        <v>42</v>
      </c>
      <c r="B2" s="1" t="s">
        <v>61</v>
      </c>
      <c r="C2" s="1" t="b">
        <v>0</v>
      </c>
      <c r="D2" s="1"/>
      <c r="E2" s="1"/>
      <c r="F2" s="1"/>
    </row>
    <row r="3" spans="1:6" x14ac:dyDescent="0.35">
      <c r="A3" s="1">
        <v>10</v>
      </c>
      <c r="B3" s="1">
        <v>5</v>
      </c>
      <c r="C3" s="1" t="b">
        <v>0</v>
      </c>
      <c r="D3" s="1"/>
      <c r="E3" s="1"/>
      <c r="F3" s="1"/>
    </row>
    <row r="4" spans="1:6" x14ac:dyDescent="0.35">
      <c r="A4" s="1"/>
      <c r="B4" s="1">
        <v>11</v>
      </c>
      <c r="C4" s="1" t="b">
        <v>1</v>
      </c>
      <c r="D4" s="1"/>
      <c r="E4" s="1"/>
      <c r="F4" s="1"/>
    </row>
    <row r="5" spans="1:6" x14ac:dyDescent="0.35">
      <c r="A5" s="1"/>
      <c r="B5" s="1"/>
      <c r="C5" s="1" t="b">
        <v>1</v>
      </c>
      <c r="D5" s="1"/>
      <c r="E5" s="1"/>
      <c r="F5" s="1"/>
    </row>
    <row r="6" spans="1:6" x14ac:dyDescent="0.35">
      <c r="A6" s="1"/>
      <c r="B6" s="1"/>
      <c r="C6" s="1" t="b">
        <v>0</v>
      </c>
      <c r="D6" s="1"/>
      <c r="E6" s="1"/>
      <c r="F6" s="1"/>
    </row>
    <row r="7" spans="1:6" x14ac:dyDescent="0.35">
      <c r="A7" s="1"/>
      <c r="B7" s="1"/>
      <c r="C7" s="1" t="b">
        <v>1</v>
      </c>
      <c r="D7" s="1"/>
      <c r="E7" s="1"/>
      <c r="F7" s="1"/>
    </row>
    <row r="8" spans="1:6" x14ac:dyDescent="0.35">
      <c r="A8" s="2"/>
      <c r="B8" s="1"/>
      <c r="C8" s="1"/>
      <c r="D8" s="1"/>
      <c r="E8" s="1"/>
      <c r="F8" s="1"/>
    </row>
    <row r="9" spans="1:6" x14ac:dyDescent="0.35">
      <c r="A9" s="2" t="s">
        <v>13</v>
      </c>
      <c r="B9" s="2" t="s">
        <v>14</v>
      </c>
      <c r="C9" s="2" t="s">
        <v>62</v>
      </c>
      <c r="D9" s="1"/>
      <c r="E9" s="1"/>
      <c r="F9" s="1"/>
    </row>
    <row r="10" spans="1:6" x14ac:dyDescent="0.35">
      <c r="A10" s="1" t="s">
        <v>0</v>
      </c>
      <c r="B10" s="1">
        <v>97</v>
      </c>
      <c r="C10" s="1" t="s">
        <v>63</v>
      </c>
      <c r="D10" s="1"/>
      <c r="E10" s="1"/>
      <c r="F10" s="1"/>
    </row>
    <row r="11" spans="1:6" x14ac:dyDescent="0.35">
      <c r="A11" s="1" t="s">
        <v>1</v>
      </c>
      <c r="B11" s="1">
        <v>150</v>
      </c>
      <c r="C11" s="1" t="s">
        <v>1</v>
      </c>
      <c r="D11" s="1"/>
      <c r="E11" s="1"/>
      <c r="F11" s="1"/>
    </row>
    <row r="12" spans="1:6" x14ac:dyDescent="0.35">
      <c r="A12" s="1" t="s">
        <v>2</v>
      </c>
      <c r="B12" s="1">
        <v>150</v>
      </c>
      <c r="C12" s="1"/>
      <c r="D12" s="1"/>
      <c r="E12" s="1"/>
      <c r="F12" s="1"/>
    </row>
    <row r="13" spans="1:6" x14ac:dyDescent="0.35">
      <c r="A13" s="1"/>
      <c r="B13" s="1"/>
      <c r="C13" s="2" t="s">
        <v>64</v>
      </c>
      <c r="D13" s="1"/>
      <c r="E13" s="1"/>
      <c r="F13" s="1"/>
    </row>
    <row r="14" spans="1:6" x14ac:dyDescent="0.35">
      <c r="A14" s="1"/>
      <c r="B14" s="1"/>
      <c r="C14" s="1" t="s">
        <v>65</v>
      </c>
      <c r="D14" s="1"/>
      <c r="E14" s="1"/>
      <c r="F14" s="1"/>
    </row>
    <row r="15" spans="1:6" x14ac:dyDescent="0.35">
      <c r="A15" s="1"/>
      <c r="B15" s="1"/>
      <c r="C15" s="1" t="s">
        <v>66</v>
      </c>
      <c r="D15" s="1"/>
      <c r="E15" s="1"/>
      <c r="F15" s="1"/>
    </row>
    <row r="16" spans="1:6" x14ac:dyDescent="0.35">
      <c r="A16" s="1"/>
      <c r="B16" s="1"/>
      <c r="C16" s="1"/>
      <c r="D16" s="1"/>
      <c r="E16" s="1"/>
      <c r="F16" s="1"/>
    </row>
    <row r="17" spans="1:6" x14ac:dyDescent="0.35">
      <c r="A17" s="1"/>
      <c r="B17" s="1"/>
      <c r="C17" s="2" t="s">
        <v>67</v>
      </c>
      <c r="D17" s="1"/>
      <c r="E17" s="1"/>
      <c r="F17" s="1"/>
    </row>
    <row r="18" spans="1:6" x14ac:dyDescent="0.35">
      <c r="A18" s="1"/>
      <c r="B18" s="1"/>
      <c r="C18" s="1" t="s">
        <v>68</v>
      </c>
      <c r="D18" s="1"/>
      <c r="E18" s="1"/>
      <c r="F18" s="1"/>
    </row>
    <row r="19" spans="1:6" x14ac:dyDescent="0.35">
      <c r="A19" s="1"/>
      <c r="B19" s="1"/>
      <c r="C19" s="1" t="s">
        <v>66</v>
      </c>
      <c r="D19" s="1"/>
      <c r="E19" s="1"/>
      <c r="F19" s="1"/>
    </row>
    <row r="20" spans="1:6" x14ac:dyDescent="0.35">
      <c r="A20" s="1"/>
      <c r="B20" s="1"/>
      <c r="C20" s="1"/>
      <c r="D20" s="1"/>
      <c r="E20" s="1"/>
      <c r="F20" s="1"/>
    </row>
    <row r="21" spans="1:6" x14ac:dyDescent="0.35">
      <c r="A21" s="2" t="s">
        <v>69</v>
      </c>
      <c r="B21" s="2" t="s">
        <v>70</v>
      </c>
      <c r="C21" s="2" t="s">
        <v>71</v>
      </c>
      <c r="D21" s="1"/>
      <c r="E21" s="1"/>
      <c r="F21" s="1"/>
    </row>
    <row r="22" spans="1:6" x14ac:dyDescent="0.35">
      <c r="A22" s="1" t="s">
        <v>0</v>
      </c>
      <c r="B22" s="1">
        <v>10</v>
      </c>
      <c r="C22" s="1" t="s">
        <v>72</v>
      </c>
      <c r="D22" s="1"/>
      <c r="E22" s="2" t="s">
        <v>2</v>
      </c>
      <c r="F22" s="1"/>
    </row>
    <row r="23" spans="1:6" x14ac:dyDescent="0.35">
      <c r="A23" s="1" t="s">
        <v>1</v>
      </c>
      <c r="B23" s="1">
        <v>8</v>
      </c>
      <c r="C23" s="1">
        <v>5</v>
      </c>
      <c r="D23" s="1">
        <f>IF(E22=A22,B22,IF(E22=A23,B23,IF(E22=A24,B24,"unknown")))</f>
        <v>5</v>
      </c>
      <c r="E23" s="1"/>
      <c r="F23" s="1"/>
    </row>
    <row r="24" spans="1:6" x14ac:dyDescent="0.35">
      <c r="A24" s="1" t="s">
        <v>2</v>
      </c>
      <c r="B24" s="1">
        <v>5</v>
      </c>
      <c r="C24" s="1">
        <v>5</v>
      </c>
      <c r="D24" s="1" t="e">
        <f ca="1">_xludf.IFS(E22=A22,B22,E22=A23,B23,E22=A24,B24)</f>
        <v>#NAME?</v>
      </c>
      <c r="E24" s="1"/>
      <c r="F24" s="1"/>
    </row>
    <row r="25" spans="1:6" x14ac:dyDescent="0.35">
      <c r="A25" s="1"/>
      <c r="B25" s="1"/>
      <c r="C25" s="1"/>
      <c r="D25" s="1"/>
      <c r="E25" s="1"/>
      <c r="F25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Sheet4</vt:lpstr>
      <vt:lpstr>Sheet5</vt:lpstr>
      <vt:lpstr>Sheet6</vt:lpstr>
      <vt:lpstr>Sheet7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Damilola Adegboye</cp:lastModifiedBy>
  <cp:lastPrinted>2025-11-12T06:20:53Z</cp:lastPrinted>
  <dcterms:created xsi:type="dcterms:W3CDTF">2022-11-18T05:16:12Z</dcterms:created>
  <dcterms:modified xsi:type="dcterms:W3CDTF">2025-11-12T06:31:10Z</dcterms:modified>
</cp:coreProperties>
</file>